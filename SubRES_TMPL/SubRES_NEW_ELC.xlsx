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jasiu\Downloads\"/>
    </mc:Choice>
  </mc:AlternateContent>
  <xr:revisionPtr revIDLastSave="0" documentId="13_ncr:1_{0F34792D-C12D-4855-A026-B120783148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6" i="4" l="1"/>
  <c r="C46" i="4"/>
  <c r="B52" i="4"/>
  <c r="B51" i="4"/>
  <c r="B8" i="4" l="1"/>
  <c r="C8" i="4"/>
  <c r="B9" i="4"/>
  <c r="C9" i="4"/>
  <c r="B10" i="4"/>
  <c r="C10" i="4"/>
  <c r="B11" i="4"/>
  <c r="C11" i="4"/>
  <c r="B12" i="4"/>
  <c r="C12" i="4"/>
  <c r="C7" i="4" l="1"/>
  <c r="B7" i="4"/>
  <c r="D21" i="4" l="1"/>
  <c r="B21" i="4"/>
  <c r="D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7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27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7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7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37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7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8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<sst xmlns="http://schemas.openxmlformats.org/spreadsheetml/2006/main" count="159" uniqueCount="108">
  <si>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</si>
  <si>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</si>
  <si>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</si>
  <si>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</si>
  <si>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</si>
  <si>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</si>
  <si>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</si>
  <si>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</si>
  <si>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</si>
  <si>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FIXOM</t>
  </si>
  <si>
    <t>VAROM</t>
  </si>
  <si>
    <t>LIFE</t>
  </si>
  <si>
    <t>CUM</t>
  </si>
  <si>
    <t>COST</t>
  </si>
  <si>
    <t>ACT_BND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</si>
  <si>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</si>
  <si>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</si>
  <si>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</si>
  <si>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</si>
  <si>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</si>
  <si>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</si>
  <si>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</si>
  <si>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</si>
  <si>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</si>
  <si>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</si>
  <si>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</si>
  <si>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</si>
  <si>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~FI_Process</t>
  </si>
  <si>
    <t>Sets</t>
  </si>
  <si>
    <t>Tact</t>
  </si>
  <si>
    <t>Tcap</t>
  </si>
  <si>
    <t>Tslvl</t>
  </si>
  <si>
    <t>PrimaryCG</t>
  </si>
  <si>
    <t>Vintage</t>
  </si>
  <si>
    <t>ELE</t>
  </si>
  <si>
    <t>GW</t>
  </si>
  <si>
    <t>MIN</t>
  </si>
  <si>
    <t>Pozyskanie wiatru na morzu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</si>
  <si>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</si>
  <si>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</si>
  <si>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</si>
  <si>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</si>
  <si>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</si>
  <si>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</si>
  <si>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</si>
  <si>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</si>
  <si>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Fixed O&amp;M Costs [PLN/kW]</t>
  </si>
  <si>
    <t>Variable O&amp;M Costs [PLN/GJ]</t>
  </si>
  <si>
    <t>Investment Cost [PLN/kW]</t>
  </si>
  <si>
    <t>Technical Lifetime [years]</t>
  </si>
  <si>
    <t>Chapter 2.11, Tab. 40 - Tab. 44</t>
  </si>
  <si>
    <t>New Technologies</t>
  </si>
  <si>
    <t>Primary Energy Carriers Extraction</t>
  </si>
  <si>
    <t>Output Commodity</t>
  </si>
  <si>
    <t>Extraction Cost [MPLN/PJ]</t>
  </si>
  <si>
    <t>Annual Extraction Bound [PJ]</t>
  </si>
  <si>
    <t>Define Commodities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</si>
  <si>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</si>
  <si>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</si>
  <si>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</si>
  <si>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</si>
  <si>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</si>
  <si>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</si>
  <si>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</si>
  <si>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Define Processes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</si>
  <si>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</si>
  <si>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</si>
  <si>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</si>
  <si>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</si>
  <si>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</si>
  <si>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</si>
  <si>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MIN_WIND-OFF</t>
  </si>
  <si>
    <t>WIND-OFF</t>
  </si>
  <si>
    <t>Wind Offshore</t>
  </si>
  <si>
    <t>New Offshore Wind Turbine</t>
  </si>
  <si>
    <t>New OnShore Wind Turbine</t>
  </si>
  <si>
    <t>New Photovoltaics - Rooftop</t>
  </si>
  <si>
    <t>New Photovoltaics - Ground</t>
  </si>
  <si>
    <t>New Combince Cycle Gas Turbine</t>
  </si>
  <si>
    <t>New Open Cycle Gas Turbine</t>
  </si>
  <si>
    <t>WIND-ON</t>
  </si>
  <si>
    <t>SOLAR</t>
  </si>
  <si>
    <t>NAT-GAS</t>
  </si>
  <si>
    <t>INVCOST~2050</t>
  </si>
  <si>
    <t>INVCOST~2025</t>
  </si>
  <si>
    <t>AF~1R</t>
  </si>
  <si>
    <t>AF~2S</t>
  </si>
  <si>
    <t>AF~3F</t>
  </si>
  <si>
    <t>AF~4W</t>
  </si>
  <si>
    <t>Seasonal Availability</t>
  </si>
  <si>
    <t>~PRCCOMEMI</t>
  </si>
  <si>
    <t>Commodity Name (Pollutant)</t>
  </si>
  <si>
    <t>CO2</t>
  </si>
  <si>
    <t>PEAK</t>
  </si>
  <si>
    <t>Peak Eq Coeff</t>
  </si>
  <si>
    <t>ELEC_HV</t>
  </si>
  <si>
    <t>ELE_NEW_WIND-OFF</t>
  </si>
  <si>
    <t>ELE_NEW_WIND-ON</t>
  </si>
  <si>
    <t>ELE_NEW_PV_ROOF</t>
  </si>
  <si>
    <t>ELE_NEW_PV_GRND</t>
  </si>
  <si>
    <t>ELE_NEW_CCGT</t>
  </si>
  <si>
    <t>ELE_NEW_OCGT</t>
  </si>
  <si>
    <t>\I: TechDesc</t>
  </si>
  <si>
    <t>Cumulative Reserves [PJ]</t>
  </si>
  <si>
    <t>Cost parameters based on old PEP2040</t>
  </si>
  <si>
    <t>New_BS</t>
  </si>
  <si>
    <t>New Battery Storage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</si>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</sst>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3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</cellStyleXfs>
  <cellXfs count="64">
    <xf numFmtId="0" fontId="0" fillId="0" borderId="0" xfId="0"/>
    <xf numFmtId="2" fontId="10" fillId="8" borderId="9" xfId="0" applyNumberFormat="1" applyFont="1" applyFill="1" applyBorder="1"/>
    <xf numFmtId="0" fontId="10" fillId="8" borderId="9" xfId="4" applyFont="1" applyFill="1" applyBorder="1"/>
    <xf numFmtId="0" fontId="11" fillId="5" borderId="7" xfId="2" applyFont="1" applyFill="1" applyBorder="1" applyAlignment="1">
      <alignment horizontal="center" vertical="center" wrapText="1"/>
    </xf>
    <xf numFmtId="0" fontId="12" fillId="7" borderId="0" xfId="2" applyFont="1" applyFill="1" applyAlignment="1">
      <alignment horizontal="left"/>
    </xf>
    <xf numFmtId="0" fontId="12" fillId="7" borderId="0" xfId="0" applyFont="1" applyFill="1" applyAlignment="1">
      <alignment horizontal="left"/>
    </xf>
    <xf numFmtId="2" fontId="10" fillId="7" borderId="0" xfId="0" applyNumberFormat="1" applyFont="1" applyFill="1"/>
    <xf numFmtId="0" fontId="10" fillId="7" borderId="0" xfId="4" applyFont="1" applyFill="1"/>
    <xf numFmtId="165" fontId="2" fillId="3" borderId="1" xfId="3" applyNumberFormat="1" applyFont="1" applyFill="1" applyBorder="1" applyAlignment="1">
      <alignment horizontal="right"/>
    </xf>
    <xf numFmtId="1" fontId="2" fillId="3" borderId="1" xfId="3" applyNumberFormat="1" applyFont="1" applyFill="1" applyBorder="1" applyAlignment="1">
      <alignment horizontal="right"/>
    </xf>
    <xf numFmtId="1" fontId="2" fillId="3" borderId="1" xfId="3" applyNumberFormat="1" applyFont="1" applyFill="1" applyBorder="1"/>
    <xf numFmtId="0" fontId="2" fillId="3" borderId="1" xfId="3" quotePrefix="1" applyFont="1" applyFill="1" applyBorder="1" applyAlignment="1">
      <alignment horizontal="left"/>
    </xf>
    <xf numFmtId="0" fontId="10" fillId="4" borderId="9" xfId="0" applyFont="1" applyFill="1" applyBorder="1"/>
    <xf numFmtId="0" fontId="10" fillId="7" borderId="0" xfId="1" applyFont="1" applyFill="1" applyAlignment="1">
      <alignment horizontal="left"/>
    </xf>
    <xf numFmtId="0" fontId="10" fillId="7" borderId="0" xfId="1" applyFont="1" applyFill="1" applyAlignment="1">
      <alignment horizontal="left" wrapText="1"/>
    </xf>
    <xf numFmtId="0" fontId="10" fillId="8" borderId="9" xfId="3" quotePrefix="1" applyFont="1" applyFill="1" applyBorder="1"/>
    <xf numFmtId="0" fontId="10" fillId="8" borderId="9" xfId="0" applyFont="1" applyFill="1" applyBorder="1"/>
    <xf numFmtId="0" fontId="10" fillId="6" borderId="8" xfId="1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7" borderId="0" xfId="0" applyFont="1" applyFill="1"/>
    <xf numFmtId="0" fontId="10" fillId="8" borderId="0" xfId="0" applyFont="1" applyFill="1"/>
    <xf numFmtId="0" fontId="10" fillId="7" borderId="0" xfId="0" applyFont="1" applyFill="1"/>
    <xf numFmtId="0" fontId="7" fillId="6" borderId="3" xfId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7" fillId="0" borderId="0" xfId="5"/>
    <xf numFmtId="0" fontId="7" fillId="0" borderId="0" xfId="0" applyFont="1"/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1" fillId="0" borderId="0" xfId="5" applyFont="1" applyAlignment="1">
      <alignment horizontal="left"/>
    </xf>
    <xf numFmtId="0" fontId="6" fillId="0" borderId="0" xfId="5" applyFont="1" applyAlignment="1">
      <alignment horizontal="right"/>
    </xf>
    <xf numFmtId="0" fontId="8" fillId="5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8" fillId="5" borderId="2" xfId="2" applyFont="1" applyFill="1" applyBorder="1" applyAlignment="1">
      <alignment horizontal="center" vertical="center" wrapText="1"/>
    </xf>
    <xf numFmtId="0" fontId="3" fillId="2" borderId="4" xfId="5" quotePrefix="1" applyFont="1" applyFill="1" applyBorder="1" applyAlignment="1">
      <alignment horizontal="left"/>
    </xf>
    <xf numFmtId="0" fontId="3" fillId="2" borderId="0" xfId="0" quotePrefix="1" applyFont="1" applyFill="1"/>
    <xf numFmtId="0" fontId="7" fillId="7" borderId="5" xfId="0" applyFont="1" applyFill="1" applyBorder="1"/>
    <xf numFmtId="0" fontId="7" fillId="8" borderId="0" xfId="0" applyFont="1" applyFill="1"/>
    <xf numFmtId="0" fontId="7" fillId="7" borderId="0" xfId="0" applyFont="1" applyFill="1"/>
    <xf numFmtId="0" fontId="7" fillId="7" borderId="6" xfId="0" applyFont="1" applyFill="1" applyBorder="1"/>
    <xf numFmtId="165" fontId="7" fillId="7" borderId="5" xfId="0" applyNumberFormat="1" applyFont="1" applyFill="1" applyBorder="1"/>
    <xf numFmtId="2" fontId="7" fillId="7" borderId="5" xfId="0" applyNumberFormat="1" applyFont="1" applyFill="1" applyBorder="1"/>
    <xf numFmtId="3" fontId="7" fillId="7" borderId="5" xfId="0" applyNumberFormat="1" applyFont="1" applyFill="1" applyBorder="1"/>
    <xf numFmtId="164" fontId="7" fillId="8" borderId="0" xfId="0" applyNumberFormat="1" applyFont="1" applyFill="1"/>
    <xf numFmtId="165" fontId="7" fillId="8" borderId="0" xfId="0" applyNumberFormat="1" applyFont="1" applyFill="1"/>
    <xf numFmtId="2" fontId="7" fillId="8" borderId="0" xfId="0" applyNumberFormat="1" applyFont="1" applyFill="1"/>
    <xf numFmtId="164" fontId="7" fillId="7" borderId="0" xfId="0" applyNumberFormat="1" applyFont="1" applyFill="1"/>
    <xf numFmtId="165" fontId="7" fillId="7" borderId="0" xfId="0" applyNumberFormat="1" applyFont="1" applyFill="1"/>
    <xf numFmtId="2" fontId="7" fillId="7" borderId="0" xfId="0" applyNumberFormat="1" applyFont="1" applyFill="1"/>
    <xf numFmtId="3" fontId="7" fillId="7" borderId="0" xfId="0" applyNumberFormat="1" applyFont="1" applyFill="1"/>
    <xf numFmtId="3" fontId="7" fillId="8" borderId="0" xfId="0" applyNumberFormat="1" applyFont="1" applyFill="1"/>
    <xf numFmtId="165" fontId="7" fillId="7" borderId="6" xfId="0" applyNumberFormat="1" applyFont="1" applyFill="1" applyBorder="1"/>
    <xf numFmtId="2" fontId="7" fillId="7" borderId="6" xfId="0" applyNumberFormat="1" applyFont="1" applyFill="1" applyBorder="1"/>
    <xf numFmtId="3" fontId="7" fillId="7" borderId="6" xfId="0" applyNumberFormat="1" applyFont="1" applyFill="1" applyBorder="1"/>
    <xf numFmtId="1" fontId="7" fillId="8" borderId="0" xfId="0" applyNumberFormat="1" applyFont="1" applyFill="1"/>
    <xf numFmtId="1" fontId="7" fillId="7" borderId="0" xfId="0" applyNumberFormat="1" applyFont="1" applyFill="1"/>
    <xf numFmtId="1" fontId="7" fillId="7" borderId="5" xfId="0" applyNumberFormat="1" applyFont="1" applyFill="1" applyBorder="1"/>
    <xf numFmtId="1" fontId="7" fillId="7" borderId="6" xfId="0" applyNumberFormat="1" applyFont="1" applyFill="1" applyBorder="1"/>
    <xf numFmtId="0" fontId="7" fillId="6" borderId="3" xfId="0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  <xf numFmtId="0" fontId="10" fillId="8" borderId="0" xfId="0" applyFont="1" applyFill="1" applyBorder="1"/>
  </cellXfs>
  <cellStyles count="6">
    <cellStyle name="Normal" xfId="0" builtinId="0"/>
    <cellStyle name="Normal 10" xfId="1" xr:uid="{00000000-0005-0000-0000-000013030000}"/>
    <cellStyle name="Normal 4" xfId="2" xr:uid="{00000000-0005-0000-0000-00001C030000}"/>
    <cellStyle name="Normal_MIN" xfId="5" xr:uid="{00000000-0005-0000-0000-000024030000}"/>
    <cellStyle name="Normalny 10" xfId="3" xr:uid="{00000000-0005-0000-0000-000027030000}"/>
    <cellStyle name="Normalny 2" xfId="4" xr:uid="{00000000-0005-0000-0000-00008F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1</xdr:row>
      <xdr:rowOff>206375</xdr:rowOff>
    </xdr:from>
    <xdr:to>
      <xdr:col>18</xdr:col>
      <xdr:colOff>7938</xdr:colOff>
      <xdr:row>3</xdr:row>
      <xdr:rowOff>170656</xdr:rowOff>
    </xdr:to>
    <xdr:sp macro="" textlink="">
      <xdr:nvSpPr>
        <xdr:cNvPr id="2" name="Nawias klamrowy zamykający 1">
          <a:extLst>
            <a:ext uri="{FF2B5EF4-FFF2-40B4-BE49-F238E27FC236}">
              <a16:creationId xmlns:a16="http://schemas.microsoft.com/office/drawing/2014/main" id="{C93F255B-634A-7F7D-5677-2DD0E4217AB6}"/>
            </a:ext>
          </a:extLst>
        </xdr:cNvPr>
        <xdr:cNvSpPr/>
      </xdr:nvSpPr>
      <xdr:spPr>
        <a:xfrm rot="16200000">
          <a:off x="15063391" y="-93266"/>
          <a:ext cx="353218" cy="1309688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16</xdr:col>
      <xdr:colOff>3969</xdr:colOff>
      <xdr:row>0</xdr:row>
      <xdr:rowOff>0</xdr:rowOff>
    </xdr:from>
    <xdr:to>
      <xdr:col>20</xdr:col>
      <xdr:colOff>261938</xdr:colOff>
      <xdr:row>2</xdr:row>
      <xdr:rowOff>55563</xdr:rowOff>
    </xdr:to>
    <xdr:sp macro="" textlink="">
      <xdr:nvSpPr>
        <xdr:cNvPr id="3" name="Prostokąt 2">
          <a:extLst>
            <a:ext uri="{FF2B5EF4-FFF2-40B4-BE49-F238E27FC236}">
              <a16:creationId xmlns:a16="http://schemas.microsoft.com/office/drawing/2014/main" id="{D2AD8DB0-D95F-B403-2FD3-12123E4E7FF4}"/>
            </a:ext>
          </a:extLst>
        </xdr:cNvPr>
        <xdr:cNvSpPr/>
      </xdr:nvSpPr>
      <xdr:spPr>
        <a:xfrm>
          <a:off x="15232063" y="0"/>
          <a:ext cx="2139156" cy="4564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Offshore wind profile only at seasonal level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S52"/>
  <sheetViews>
    <sheetView tabSelected="1" zoomScale="70" zoomScaleNormal="70" workbookViewId="0">
      <selection activeCell="P17" sqref="P17"/>
    </sheetView>
  </sheetViews>
  <sheetFormatPr defaultRowHeight="13.2" x14ac:dyDescent="0.25"/>
  <cols>
    <col min="1" max="1" width="2.77734375" customWidth="1"/>
    <col min="2" max="2" width="24.5546875" customWidth="1"/>
    <col min="3" max="3" width="31.77734375" customWidth="1"/>
    <col min="4" max="4" width="26.21875" customWidth="1"/>
    <col min="5" max="5" width="12.21875" customWidth="1"/>
    <col min="6" max="6" width="14.5546875" customWidth="1"/>
    <col min="7" max="7" width="15.77734375" customWidth="1"/>
    <col min="8" max="8" width="14.77734375" customWidth="1"/>
    <col min="9" max="9" width="10.5546875" customWidth="1"/>
    <col min="10" max="11" width="10.21875" customWidth="1"/>
    <col min="12" max="12" width="11.21875" customWidth="1"/>
    <col min="13" max="13" width="13.21875" customWidth="1"/>
    <col min="14" max="14" width="10.44140625" customWidth="1"/>
    <col min="15" max="18" width="4.77734375" customWidth="1"/>
  </cols>
  <sheetData>
    <row r="1" spans="2:19" ht="13.8" x14ac:dyDescent="0.25">
      <c r="L1" s="35" t="s">
        <v>104</v>
      </c>
      <c r="M1" s="35"/>
      <c r="N1" s="35"/>
      <c r="O1" s="35"/>
    </row>
    <row r="2" spans="2:19" ht="17.399999999999999" x14ac:dyDescent="0.3">
      <c r="B2" s="26" t="s">
        <v>51</v>
      </c>
      <c r="L2" s="35" t="s">
        <v>50</v>
      </c>
      <c r="M2" s="35"/>
      <c r="N2" s="35"/>
      <c r="O2" s="35"/>
    </row>
    <row r="3" spans="2:19" x14ac:dyDescent="0.25">
      <c r="F3" s="24"/>
      <c r="G3" s="24"/>
      <c r="H3" s="23"/>
      <c r="I3" s="23"/>
      <c r="J3" s="23"/>
      <c r="K3" s="23"/>
      <c r="L3" s="25"/>
    </row>
    <row r="4" spans="2:19" ht="15.75" customHeight="1" x14ac:dyDescent="0.25">
      <c r="E4" s="23" t="s">
        <v>0</v>
      </c>
      <c r="F4" s="23"/>
      <c r="G4" s="23"/>
      <c r="H4" s="23"/>
      <c r="I4" s="25"/>
    </row>
    <row r="5" spans="2:19" ht="26.4" x14ac:dyDescent="0.25">
      <c r="B5" s="29" t="s">
        <v>1</v>
      </c>
      <c r="C5" s="29" t="s">
        <v>102</v>
      </c>
      <c r="D5" s="29" t="s">
        <v>3</v>
      </c>
      <c r="E5" s="29" t="s">
        <v>4</v>
      </c>
      <c r="F5" s="29" t="s">
        <v>5</v>
      </c>
      <c r="G5" s="29" t="s">
        <v>6</v>
      </c>
      <c r="H5" s="30" t="s">
        <v>7</v>
      </c>
      <c r="I5" s="30" t="s">
        <v>8</v>
      </c>
      <c r="J5" s="30" t="s">
        <v>84</v>
      </c>
      <c r="K5" s="30" t="s">
        <v>83</v>
      </c>
      <c r="L5" s="30" t="s">
        <v>9</v>
      </c>
      <c r="M5" s="30" t="s">
        <v>10</v>
      </c>
      <c r="N5" s="36" t="s">
        <v>11</v>
      </c>
      <c r="O5" s="30" t="s">
        <v>85</v>
      </c>
      <c r="P5" s="30" t="s">
        <v>86</v>
      </c>
      <c r="Q5" s="30" t="s">
        <v>87</v>
      </c>
      <c r="R5" s="30" t="s">
        <v>88</v>
      </c>
      <c r="S5" s="29" t="s">
        <v>93</v>
      </c>
    </row>
    <row r="6" spans="2:19" s="25" customFormat="1" ht="48.3" customHeight="1" thickBot="1" x14ac:dyDescent="0.3">
      <c r="B6" s="22" t="s">
        <v>38</v>
      </c>
      <c r="C6" s="22" t="s">
        <v>39</v>
      </c>
      <c r="D6" s="22" t="s">
        <v>40</v>
      </c>
      <c r="E6" s="22" t="s">
        <v>41</v>
      </c>
      <c r="F6" s="22" t="s">
        <v>42</v>
      </c>
      <c r="G6" s="22" t="s">
        <v>43</v>
      </c>
      <c r="H6" s="22" t="s">
        <v>44</v>
      </c>
      <c r="I6" s="22" t="s">
        <v>45</v>
      </c>
      <c r="J6" s="22" t="s">
        <v>48</v>
      </c>
      <c r="K6" s="22" t="s">
        <v>48</v>
      </c>
      <c r="L6" s="22" t="s">
        <v>46</v>
      </c>
      <c r="M6" s="22" t="s">
        <v>47</v>
      </c>
      <c r="N6" s="22" t="s">
        <v>49</v>
      </c>
      <c r="O6" s="62" t="s">
        <v>89</v>
      </c>
      <c r="P6" s="62"/>
      <c r="Q6" s="62"/>
      <c r="R6" s="62"/>
      <c r="S6" s="61" t="s">
        <v>94</v>
      </c>
    </row>
    <row r="7" spans="2:19" ht="15.75" customHeight="1" x14ac:dyDescent="0.25">
      <c r="B7" s="39" t="str">
        <f>C39</f>
        <v>ELE_NEW_WIND-OFF</v>
      </c>
      <c r="C7" s="39" t="str">
        <f>D39</f>
        <v>New Offshore Wind Turbine</v>
      </c>
      <c r="D7" s="39" t="str">
        <f>C29</f>
        <v>WIND-OFF</v>
      </c>
      <c r="E7" s="39" t="s">
        <v>95</v>
      </c>
      <c r="F7" s="39">
        <v>2025</v>
      </c>
      <c r="G7" s="43">
        <v>1</v>
      </c>
      <c r="H7" s="39">
        <v>31.536000000000001</v>
      </c>
      <c r="I7" s="44">
        <v>1</v>
      </c>
      <c r="J7" s="45">
        <v>13396</v>
      </c>
      <c r="K7" s="45">
        <v>9590</v>
      </c>
      <c r="L7" s="59">
        <v>344</v>
      </c>
      <c r="M7" s="44"/>
      <c r="N7" s="39">
        <v>25</v>
      </c>
      <c r="O7" s="39">
        <v>0.48750000000000004</v>
      </c>
      <c r="P7" s="39">
        <v>0.28750000000000003</v>
      </c>
      <c r="Q7" s="39">
        <v>0.375</v>
      </c>
      <c r="R7" s="39">
        <v>0.53749999999999998</v>
      </c>
      <c r="S7" s="39">
        <v>0.1</v>
      </c>
    </row>
    <row r="8" spans="2:19" ht="15.75" customHeight="1" x14ac:dyDescent="0.25">
      <c r="B8" s="40" t="str">
        <f t="shared" ref="B8:C8" si="0">C40</f>
        <v>ELE_NEW_WIND-ON</v>
      </c>
      <c r="C8" s="40" t="str">
        <f t="shared" si="0"/>
        <v>New OnShore Wind Turbine</v>
      </c>
      <c r="D8" s="40" t="s">
        <v>80</v>
      </c>
      <c r="E8" s="46" t="s">
        <v>95</v>
      </c>
      <c r="F8" s="40">
        <v>2025</v>
      </c>
      <c r="G8" s="47">
        <v>1</v>
      </c>
      <c r="H8" s="40">
        <v>31.536000000000001</v>
      </c>
      <c r="I8" s="48">
        <v>1</v>
      </c>
      <c r="J8" s="53">
        <v>5880</v>
      </c>
      <c r="K8" s="53">
        <v>4761</v>
      </c>
      <c r="L8" s="57">
        <v>150</v>
      </c>
      <c r="M8" s="48"/>
      <c r="N8" s="40">
        <v>25</v>
      </c>
      <c r="O8" s="40"/>
      <c r="P8" s="40"/>
      <c r="Q8" s="40"/>
      <c r="R8" s="40"/>
      <c r="S8" s="40">
        <v>0.1</v>
      </c>
    </row>
    <row r="9" spans="2:19" ht="15.75" customHeight="1" x14ac:dyDescent="0.25">
      <c r="B9" s="41" t="str">
        <f t="shared" ref="B9:C9" si="1">C41</f>
        <v>ELE_NEW_PV_ROOF</v>
      </c>
      <c r="C9" s="41" t="str">
        <f t="shared" si="1"/>
        <v>New Photovoltaics - Rooftop</v>
      </c>
      <c r="D9" s="41" t="s">
        <v>81</v>
      </c>
      <c r="E9" s="49" t="s">
        <v>95</v>
      </c>
      <c r="F9" s="41">
        <v>2025</v>
      </c>
      <c r="G9" s="50">
        <v>1</v>
      </c>
      <c r="H9" s="41">
        <v>31.536000000000001</v>
      </c>
      <c r="I9" s="51">
        <v>1</v>
      </c>
      <c r="J9" s="52">
        <v>3518</v>
      </c>
      <c r="K9" s="52">
        <v>2782</v>
      </c>
      <c r="L9" s="58">
        <v>42</v>
      </c>
      <c r="M9" s="51"/>
      <c r="N9" s="41">
        <v>25</v>
      </c>
      <c r="O9" s="41"/>
      <c r="P9" s="41"/>
      <c r="Q9" s="41"/>
      <c r="R9" s="41"/>
      <c r="S9" s="41">
        <v>0.1</v>
      </c>
    </row>
    <row r="10" spans="2:19" ht="15.75" customHeight="1" x14ac:dyDescent="0.25">
      <c r="B10" s="40" t="str">
        <f t="shared" ref="B10:C10" si="2">C42</f>
        <v>ELE_NEW_PV_GRND</v>
      </c>
      <c r="C10" s="40" t="str">
        <f t="shared" si="2"/>
        <v>New Photovoltaics - Ground</v>
      </c>
      <c r="D10" s="40" t="s">
        <v>81</v>
      </c>
      <c r="E10" s="46" t="s">
        <v>95</v>
      </c>
      <c r="F10" s="40">
        <v>2025</v>
      </c>
      <c r="G10" s="47">
        <v>1</v>
      </c>
      <c r="H10" s="40">
        <v>31.536000000000001</v>
      </c>
      <c r="I10" s="48">
        <v>1</v>
      </c>
      <c r="J10" s="53">
        <v>3260</v>
      </c>
      <c r="K10" s="53">
        <v>2550</v>
      </c>
      <c r="L10" s="57">
        <v>68</v>
      </c>
      <c r="M10" s="48"/>
      <c r="N10" s="40">
        <v>25</v>
      </c>
      <c r="O10" s="40"/>
      <c r="P10" s="40"/>
      <c r="Q10" s="40"/>
      <c r="R10" s="40"/>
      <c r="S10" s="40">
        <v>0.1</v>
      </c>
    </row>
    <row r="11" spans="2:19" ht="15.75" customHeight="1" x14ac:dyDescent="0.25">
      <c r="B11" s="41" t="str">
        <f t="shared" ref="B11:C11" si="3">C43</f>
        <v>ELE_NEW_CCGT</v>
      </c>
      <c r="C11" s="41" t="str">
        <f t="shared" si="3"/>
        <v>New Combince Cycle Gas Turbine</v>
      </c>
      <c r="D11" s="41" t="s">
        <v>82</v>
      </c>
      <c r="E11" s="49" t="s">
        <v>95</v>
      </c>
      <c r="F11" s="41">
        <v>2025</v>
      </c>
      <c r="G11" s="50">
        <v>0.57999999999999996</v>
      </c>
      <c r="H11" s="41">
        <v>31.536000000000001</v>
      </c>
      <c r="I11" s="51">
        <v>0.85</v>
      </c>
      <c r="J11" s="52">
        <v>2125</v>
      </c>
      <c r="K11" s="52">
        <v>2125</v>
      </c>
      <c r="L11" s="58">
        <v>77</v>
      </c>
      <c r="M11" s="51">
        <v>2.15</v>
      </c>
      <c r="N11" s="41">
        <v>30</v>
      </c>
      <c r="O11" s="41"/>
      <c r="P11" s="41"/>
      <c r="Q11" s="41"/>
      <c r="R11" s="41"/>
      <c r="S11" s="41">
        <v>1</v>
      </c>
    </row>
    <row r="12" spans="2:19" ht="15.75" customHeight="1" x14ac:dyDescent="0.25">
      <c r="B12" s="40" t="str">
        <f t="shared" ref="B12:C12" si="4">C44</f>
        <v>ELE_NEW_OCGT</v>
      </c>
      <c r="C12" s="40" t="str">
        <f t="shared" si="4"/>
        <v>New Open Cycle Gas Turbine</v>
      </c>
      <c r="D12" s="40" t="s">
        <v>82</v>
      </c>
      <c r="E12" s="46" t="s">
        <v>95</v>
      </c>
      <c r="F12" s="40">
        <v>2025</v>
      </c>
      <c r="G12" s="47">
        <v>0.4</v>
      </c>
      <c r="H12" s="40">
        <v>31.536000000000001</v>
      </c>
      <c r="I12" s="48">
        <v>0.25</v>
      </c>
      <c r="J12" s="53">
        <v>3188</v>
      </c>
      <c r="K12" s="53">
        <v>3188</v>
      </c>
      <c r="L12" s="57">
        <v>69</v>
      </c>
      <c r="M12" s="48">
        <v>1.67</v>
      </c>
      <c r="N12" s="40">
        <v>30</v>
      </c>
      <c r="O12" s="40"/>
      <c r="P12" s="40"/>
      <c r="Q12" s="40"/>
      <c r="R12" s="40"/>
      <c r="S12" s="40">
        <v>1</v>
      </c>
    </row>
    <row r="13" spans="2:19" ht="15.75" customHeight="1" thickBot="1" x14ac:dyDescent="0.3">
      <c r="B13" s="42" t="s">
        <v>105</v>
      </c>
      <c r="C13" s="42" t="s">
        <v>106</v>
      </c>
      <c r="D13" s="46" t="s">
        <v>95</v>
      </c>
      <c r="E13" s="46" t="s">
        <v>95</v>
      </c>
      <c r="F13" s="42">
        <v>2025</v>
      </c>
      <c r="G13" s="54">
        <v>0.8</v>
      </c>
      <c r="H13" s="42">
        <v>1</v>
      </c>
      <c r="I13" s="55">
        <v>1</v>
      </c>
      <c r="J13" s="56">
        <v>2500</v>
      </c>
      <c r="K13" s="56"/>
      <c r="L13" s="60">
        <v>1</v>
      </c>
      <c r="M13" s="55">
        <v>1</v>
      </c>
      <c r="N13" s="42">
        <v>25</v>
      </c>
      <c r="O13" s="42">
        <v>1</v>
      </c>
      <c r="P13" s="42">
        <v>1</v>
      </c>
      <c r="Q13" s="42">
        <v>1</v>
      </c>
      <c r="R13" s="42">
        <v>1</v>
      </c>
      <c r="S13" s="42">
        <v>1</v>
      </c>
    </row>
    <row r="16" spans="2:19" ht="17.399999999999999" x14ac:dyDescent="0.3">
      <c r="B16" s="37" t="s">
        <v>52</v>
      </c>
      <c r="C16" s="26"/>
      <c r="D16" s="26"/>
    </row>
    <row r="18" spans="2:9" x14ac:dyDescent="0.25">
      <c r="D18" s="31" t="s">
        <v>0</v>
      </c>
      <c r="E18" s="27"/>
      <c r="F18" s="27"/>
      <c r="G18" s="32"/>
    </row>
    <row r="19" spans="2:9" x14ac:dyDescent="0.25">
      <c r="B19" s="33" t="s">
        <v>1</v>
      </c>
      <c r="C19" s="33" t="s">
        <v>102</v>
      </c>
      <c r="D19" s="33" t="s">
        <v>4</v>
      </c>
      <c r="E19" s="34" t="s">
        <v>12</v>
      </c>
      <c r="F19" s="33" t="s">
        <v>13</v>
      </c>
      <c r="G19" s="33" t="s">
        <v>14</v>
      </c>
    </row>
    <row r="20" spans="2:9" ht="47.25" customHeight="1" thickBot="1" x14ac:dyDescent="0.3">
      <c r="B20" s="22" t="s">
        <v>38</v>
      </c>
      <c r="C20" s="22" t="s">
        <v>39</v>
      </c>
      <c r="D20" s="22" t="s">
        <v>53</v>
      </c>
      <c r="E20" s="22" t="s">
        <v>103</v>
      </c>
      <c r="F20" s="22" t="s">
        <v>54</v>
      </c>
      <c r="G20" s="22" t="s">
        <v>55</v>
      </c>
    </row>
    <row r="21" spans="2:9" ht="15.75" customHeight="1" thickBot="1" x14ac:dyDescent="0.3">
      <c r="B21" s="11" t="str">
        <f>C45</f>
        <v>MIN_WIND-OFF</v>
      </c>
      <c r="C21" s="11" t="s">
        <v>73</v>
      </c>
      <c r="D21" s="10" t="str">
        <f>C29</f>
        <v>WIND-OFF</v>
      </c>
      <c r="E21" s="9"/>
      <c r="F21" s="8">
        <v>1E-3</v>
      </c>
      <c r="G21" s="9"/>
      <c r="I21" s="28"/>
    </row>
    <row r="24" spans="2:9" ht="17.399999999999999" x14ac:dyDescent="0.3">
      <c r="B24" s="26" t="s">
        <v>56</v>
      </c>
      <c r="C24" s="26"/>
      <c r="D24" s="26"/>
    </row>
    <row r="26" spans="2:9" ht="18.75" customHeight="1" thickBot="1" x14ac:dyDescent="0.35">
      <c r="B26" s="19" t="s">
        <v>15</v>
      </c>
      <c r="C26" s="19"/>
      <c r="D26" s="19"/>
      <c r="E26" s="19"/>
      <c r="F26" s="19"/>
      <c r="G26" s="19"/>
      <c r="H26" s="19"/>
      <c r="I26" s="19"/>
    </row>
    <row r="27" spans="2:9" ht="13.8" thickBot="1" x14ac:dyDescent="0.3">
      <c r="B27" s="18" t="s">
        <v>16</v>
      </c>
      <c r="C27" s="18" t="s">
        <v>17</v>
      </c>
      <c r="D27" s="18" t="s">
        <v>18</v>
      </c>
      <c r="E27" s="18" t="s">
        <v>19</v>
      </c>
      <c r="F27" s="18" t="s">
        <v>20</v>
      </c>
      <c r="G27" s="18" t="s">
        <v>21</v>
      </c>
      <c r="H27" s="18" t="s">
        <v>22</v>
      </c>
      <c r="I27" s="18" t="s">
        <v>23</v>
      </c>
    </row>
    <row r="28" spans="2:9" ht="40.200000000000003" thickBot="1" x14ac:dyDescent="0.3">
      <c r="B28" s="17" t="s">
        <v>57</v>
      </c>
      <c r="C28" s="17" t="s">
        <v>58</v>
      </c>
      <c r="D28" s="17" t="s">
        <v>59</v>
      </c>
      <c r="E28" s="17" t="s">
        <v>19</v>
      </c>
      <c r="F28" s="17" t="s">
        <v>60</v>
      </c>
      <c r="G28" s="17" t="s">
        <v>61</v>
      </c>
      <c r="H28" s="17" t="s">
        <v>62</v>
      </c>
      <c r="I28" s="17" t="s">
        <v>63</v>
      </c>
    </row>
    <row r="29" spans="2:9" ht="18.75" customHeight="1" x14ac:dyDescent="0.25">
      <c r="B29" s="14" t="s">
        <v>24</v>
      </c>
      <c r="C29" s="14" t="s">
        <v>72</v>
      </c>
      <c r="D29" s="13" t="s">
        <v>73</v>
      </c>
      <c r="E29" s="14" t="s">
        <v>25</v>
      </c>
      <c r="F29" s="14"/>
      <c r="G29" s="14"/>
      <c r="H29" s="14"/>
      <c r="I29" s="14"/>
    </row>
    <row r="30" spans="2:9" ht="18.75" customHeight="1" thickBot="1" x14ac:dyDescent="0.3">
      <c r="B30" s="12"/>
      <c r="C30" s="12"/>
      <c r="D30" s="12"/>
      <c r="E30" s="12"/>
      <c r="F30" s="12"/>
      <c r="G30" s="12"/>
      <c r="H30" s="12"/>
      <c r="I30" s="12"/>
    </row>
    <row r="33" spans="2:9" ht="17.399999999999999" x14ac:dyDescent="0.3">
      <c r="B33" s="38" t="s">
        <v>64</v>
      </c>
      <c r="C33" s="26"/>
      <c r="D33" s="26"/>
    </row>
    <row r="34" spans="2:9" ht="15" customHeight="1" x14ac:dyDescent="0.25">
      <c r="B34" s="23"/>
      <c r="C34" s="23"/>
    </row>
    <row r="36" spans="2:9" ht="18.75" customHeight="1" thickBot="1" x14ac:dyDescent="0.35">
      <c r="B36" s="19" t="s">
        <v>27</v>
      </c>
      <c r="C36" s="19"/>
      <c r="D36" s="19"/>
      <c r="E36" s="19"/>
      <c r="F36" s="19"/>
      <c r="G36" s="19"/>
      <c r="H36" s="19"/>
      <c r="I36" s="19"/>
    </row>
    <row r="37" spans="2:9" ht="13.8" thickBot="1" x14ac:dyDescent="0.3">
      <c r="B37" s="18" t="s">
        <v>28</v>
      </c>
      <c r="C37" s="18" t="s">
        <v>1</v>
      </c>
      <c r="D37" s="18" t="s">
        <v>2</v>
      </c>
      <c r="E37" s="18" t="s">
        <v>29</v>
      </c>
      <c r="F37" s="18" t="s">
        <v>30</v>
      </c>
      <c r="G37" s="18" t="s">
        <v>31</v>
      </c>
      <c r="H37" s="18" t="s">
        <v>32</v>
      </c>
      <c r="I37" s="18" t="s">
        <v>33</v>
      </c>
    </row>
    <row r="38" spans="2:9" ht="40.200000000000003" thickBot="1" x14ac:dyDescent="0.3">
      <c r="B38" s="17" t="s">
        <v>65</v>
      </c>
      <c r="C38" s="17" t="s">
        <v>66</v>
      </c>
      <c r="D38" s="17" t="s">
        <v>39</v>
      </c>
      <c r="E38" s="17" t="s">
        <v>67</v>
      </c>
      <c r="F38" s="17" t="s">
        <v>68</v>
      </c>
      <c r="G38" s="17" t="s">
        <v>61</v>
      </c>
      <c r="H38" s="17" t="s">
        <v>69</v>
      </c>
      <c r="I38" s="17" t="s">
        <v>70</v>
      </c>
    </row>
    <row r="39" spans="2:9" ht="18.75" customHeight="1" x14ac:dyDescent="0.25">
      <c r="B39" s="21" t="s">
        <v>34</v>
      </c>
      <c r="C39" s="21" t="s">
        <v>96</v>
      </c>
      <c r="D39" s="21" t="s">
        <v>74</v>
      </c>
      <c r="E39" s="21" t="s">
        <v>25</v>
      </c>
      <c r="F39" s="21" t="s">
        <v>35</v>
      </c>
      <c r="G39" s="21" t="s">
        <v>26</v>
      </c>
      <c r="H39" s="21"/>
      <c r="I39" s="21"/>
    </row>
    <row r="40" spans="2:9" ht="18.75" customHeight="1" x14ac:dyDescent="0.25">
      <c r="B40" s="20" t="s">
        <v>34</v>
      </c>
      <c r="C40" s="20" t="s">
        <v>97</v>
      </c>
      <c r="D40" s="20" t="s">
        <v>75</v>
      </c>
      <c r="E40" s="20" t="s">
        <v>25</v>
      </c>
      <c r="F40" s="20" t="s">
        <v>35</v>
      </c>
      <c r="G40" s="20" t="s">
        <v>26</v>
      </c>
      <c r="H40" s="20"/>
      <c r="I40" s="20"/>
    </row>
    <row r="41" spans="2:9" ht="18.75" customHeight="1" x14ac:dyDescent="0.25">
      <c r="B41" s="21" t="s">
        <v>34</v>
      </c>
      <c r="C41" s="21" t="s">
        <v>98</v>
      </c>
      <c r="D41" s="21" t="s">
        <v>76</v>
      </c>
      <c r="E41" s="21" t="s">
        <v>25</v>
      </c>
      <c r="F41" s="21" t="s">
        <v>35</v>
      </c>
      <c r="G41" s="21" t="s">
        <v>26</v>
      </c>
      <c r="H41" s="21"/>
      <c r="I41" s="21"/>
    </row>
    <row r="42" spans="2:9" ht="18.75" customHeight="1" x14ac:dyDescent="0.25">
      <c r="B42" s="20" t="s">
        <v>34</v>
      </c>
      <c r="C42" s="20" t="s">
        <v>99</v>
      </c>
      <c r="D42" s="20" t="s">
        <v>77</v>
      </c>
      <c r="E42" s="20" t="s">
        <v>25</v>
      </c>
      <c r="F42" s="20" t="s">
        <v>35</v>
      </c>
      <c r="G42" s="20" t="s">
        <v>26</v>
      </c>
      <c r="H42" s="20"/>
      <c r="I42" s="20"/>
    </row>
    <row r="43" spans="2:9" ht="18.75" customHeight="1" x14ac:dyDescent="0.25">
      <c r="B43" s="21" t="s">
        <v>34</v>
      </c>
      <c r="C43" s="21" t="s">
        <v>100</v>
      </c>
      <c r="D43" s="21" t="s">
        <v>78</v>
      </c>
      <c r="E43" s="21" t="s">
        <v>25</v>
      </c>
      <c r="F43" s="21" t="s">
        <v>35</v>
      </c>
      <c r="G43" s="21" t="s">
        <v>26</v>
      </c>
      <c r="H43" s="21"/>
      <c r="I43" s="21"/>
    </row>
    <row r="44" spans="2:9" ht="18.75" customHeight="1" x14ac:dyDescent="0.25">
      <c r="B44" s="20" t="s">
        <v>34</v>
      </c>
      <c r="C44" s="20" t="s">
        <v>101</v>
      </c>
      <c r="D44" s="20" t="s">
        <v>79</v>
      </c>
      <c r="E44" s="20" t="s">
        <v>25</v>
      </c>
      <c r="F44" s="20" t="s">
        <v>35</v>
      </c>
      <c r="G44" s="20" t="s">
        <v>26</v>
      </c>
      <c r="H44" s="20"/>
      <c r="I44" s="20"/>
    </row>
    <row r="45" spans="2:9" ht="18.75" customHeight="1" thickBot="1" x14ac:dyDescent="0.3">
      <c r="B45" s="16" t="s">
        <v>36</v>
      </c>
      <c r="C45" s="15" t="s">
        <v>71</v>
      </c>
      <c r="D45" s="16" t="s">
        <v>37</v>
      </c>
      <c r="E45" s="16" t="s">
        <v>25</v>
      </c>
      <c r="F45" s="16"/>
      <c r="G45" s="16"/>
      <c r="H45" s="16"/>
      <c r="I45" s="16"/>
    </row>
    <row r="46" spans="2:9" ht="18.75" customHeight="1" x14ac:dyDescent="0.25">
      <c r="B46" s="63" t="s">
        <v>107</v>
      </c>
      <c r="C46" t="str">
        <f>B13</f>
        <v>New_BS</v>
      </c>
      <c r="D46" t="str">
        <f>C13</f>
        <v>New Battery Storage</v>
      </c>
      <c r="E46" s="63" t="s">
        <v>25</v>
      </c>
      <c r="F46" s="63" t="s">
        <v>35</v>
      </c>
      <c r="G46" s="63" t="s">
        <v>26</v>
      </c>
    </row>
    <row r="48" spans="2:9" ht="18.75" customHeight="1" thickBot="1" x14ac:dyDescent="0.35">
      <c r="B48" s="5"/>
      <c r="C48" s="4" t="s">
        <v>90</v>
      </c>
      <c r="D48" s="19"/>
    </row>
    <row r="49" spans="2:4" ht="13.8" thickBot="1" x14ac:dyDescent="0.3">
      <c r="B49" s="3" t="s">
        <v>1</v>
      </c>
      <c r="C49" s="3" t="s">
        <v>17</v>
      </c>
      <c r="D49" s="3" t="s">
        <v>82</v>
      </c>
    </row>
    <row r="50" spans="2:4" ht="13.8" thickBot="1" x14ac:dyDescent="0.3">
      <c r="B50" s="17" t="s">
        <v>38</v>
      </c>
      <c r="C50" s="17" t="s">
        <v>91</v>
      </c>
      <c r="D50" s="17"/>
    </row>
    <row r="51" spans="2:4" ht="18.75" customHeight="1" x14ac:dyDescent="0.25">
      <c r="B51" s="21" t="str">
        <f>C43</f>
        <v>ELE_NEW_CCGT</v>
      </c>
      <c r="C51" s="7" t="s">
        <v>92</v>
      </c>
      <c r="D51" s="6">
        <v>55.82</v>
      </c>
    </row>
    <row r="52" spans="2:4" ht="18.75" customHeight="1" thickBot="1" x14ac:dyDescent="0.3">
      <c r="B52" s="16" t="str">
        <f>C44</f>
        <v>ELE_NEW_OCGT</v>
      </c>
      <c r="C52" s="2" t="s">
        <v>92</v>
      </c>
      <c r="D52" s="1">
        <v>55.82</v>
      </c>
    </row>
  </sheetData>
  <mergeCells count="1">
    <mergeCell ref="O6:R6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E0EFD64C-3030-4CB0-BDE8-433764A2E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2005-06-03T09:41:13Z</dcterms:created>
  <dcterms:modified xsi:type="dcterms:W3CDTF">2025-11-25T08:23:55Z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